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원본" sheetId="1" state="visible" r:id="rId1"/>
    <sheet xmlns:r="http://schemas.openxmlformats.org/officeDocument/2006/relationships" name="VoC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A5F"/>
      <sz val="14"/>
    </font>
    <font>
      <name val="맑은 고딕"/>
      <color rgb="007A7266"/>
      <sz val="9"/>
    </font>
    <font>
      <name val="맑은 고딕"/>
      <b val="1"/>
      <color rgb="00B45309"/>
      <sz val="12"/>
    </font>
    <font>
      <name val="맑은 고딕"/>
      <b val="1"/>
      <color rgb="001F3A5F"/>
      <sz val="13"/>
    </font>
    <font>
      <name val="맑은 고딕"/>
      <b val="1"/>
      <color rgb="00C0392B"/>
      <sz val="12"/>
    </font>
    <font>
      <name val="맑은 고딕"/>
      <b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4530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'VoC분석'!B10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'VoC분석'!$A$11:$A$15</f>
            </numRef>
          </cat>
          <val>
            <numRef>
              <f>'VoC분석'!$B$11:$B$15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테마별 리뷰 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'VoC분석'!B19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'VoC분석'!$A$20:$A$26</f>
            </numRef>
          </cat>
          <val>
            <numRef>
              <f>'VoC분석'!$B$20:$B$26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4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플랫폼</t>
        </is>
      </c>
      <c r="C1" s="1" t="inlineStr">
        <is>
          <t>별점</t>
        </is>
      </c>
      <c r="D1" s="1" t="inlineStr">
        <is>
          <t>리뷰</t>
        </is>
      </c>
      <c r="E1" s="1" t="inlineStr">
        <is>
          <t>테마</t>
        </is>
      </c>
    </row>
    <row r="2">
      <c r="A2" s="2" t="inlineStr">
        <is>
          <t>2026-06-09</t>
        </is>
      </c>
      <c r="B2" s="2" t="inlineStr">
        <is>
          <t>네이버</t>
        </is>
      </c>
      <c r="C2" s="3" t="n">
        <v>5</v>
      </c>
      <c r="D2" s="2" t="inlineStr">
        <is>
          <t>흑임자 라떼 고소하고 진해요. 인생 라떼</t>
        </is>
      </c>
      <c r="E2" s="2" t="inlineStr">
        <is>
          <t>맛</t>
        </is>
      </c>
    </row>
    <row r="3">
      <c r="A3" s="2" t="inlineStr">
        <is>
          <t>2026-06-10</t>
        </is>
      </c>
      <c r="B3" s="2" t="inlineStr">
        <is>
          <t>카카오맵</t>
        </is>
      </c>
      <c r="C3" s="3" t="n">
        <v>5</v>
      </c>
      <c r="D3" s="2" t="inlineStr">
        <is>
          <t>콘센트 자리 많아서 작업하기 너무 좋아요</t>
        </is>
      </c>
      <c r="E3" s="2" t="inlineStr">
        <is>
          <t>작업환경</t>
        </is>
      </c>
    </row>
    <row r="4">
      <c r="A4" s="2" t="inlineStr">
        <is>
          <t>2026-06-11</t>
        </is>
      </c>
      <c r="B4" s="2" t="inlineStr">
        <is>
          <t>인스타</t>
        </is>
      </c>
      <c r="C4" s="3" t="n">
        <v>4</v>
      </c>
      <c r="D4" s="2" t="inlineStr">
        <is>
          <t>바스크 치즈케이크 꾸덕하니 맛있음</t>
        </is>
      </c>
      <c r="E4" s="2" t="inlineStr">
        <is>
          <t>디저트</t>
        </is>
      </c>
    </row>
    <row r="5">
      <c r="A5" s="2" t="inlineStr">
        <is>
          <t>2026-06-12</t>
        </is>
      </c>
      <c r="B5" s="2" t="inlineStr">
        <is>
          <t>네이버</t>
        </is>
      </c>
      <c r="C5" s="3" t="n">
        <v>2</v>
      </c>
      <c r="D5" s="2" t="inlineStr">
        <is>
          <t>주말엔 자리가 없어서 한참 기다렸어요</t>
        </is>
      </c>
      <c r="E5" s="2" t="inlineStr">
        <is>
          <t>대기시간</t>
        </is>
      </c>
    </row>
    <row r="6">
      <c r="A6" s="2" t="inlineStr">
        <is>
          <t>2026-06-13</t>
        </is>
      </c>
      <c r="B6" s="2" t="inlineStr">
        <is>
          <t>카카오맵</t>
        </is>
      </c>
      <c r="C6" s="3" t="n">
        <v>3</v>
      </c>
      <c r="D6" s="2" t="inlineStr">
        <is>
          <t>맛은 좋은데 가격이 좀 있는 편</t>
        </is>
      </c>
      <c r="E6" s="2" t="inlineStr">
        <is>
          <t>가격</t>
        </is>
      </c>
    </row>
    <row r="7">
      <c r="A7" s="2" t="inlineStr">
        <is>
          <t>2026-06-14</t>
        </is>
      </c>
      <c r="B7" s="2" t="inlineStr">
        <is>
          <t>네이버</t>
        </is>
      </c>
      <c r="C7" s="3" t="n">
        <v>5</v>
      </c>
      <c r="D7" s="2" t="inlineStr">
        <is>
          <t>사장님이 친절하시고 분위기 차분해요</t>
        </is>
      </c>
      <c r="E7" s="2" t="inlineStr">
        <is>
          <t>친절</t>
        </is>
      </c>
    </row>
    <row r="8">
      <c r="A8" s="2" t="inlineStr">
        <is>
          <t>2026-06-14</t>
        </is>
      </c>
      <c r="B8" s="2" t="inlineStr">
        <is>
          <t>인스타</t>
        </is>
      </c>
      <c r="C8" s="3" t="n">
        <v>5</v>
      </c>
      <c r="D8" s="2" t="inlineStr">
        <is>
          <t>흑임자 라떼 + 바스크 조합 최고</t>
        </is>
      </c>
      <c r="E8" s="2" t="inlineStr">
        <is>
          <t>맛</t>
        </is>
      </c>
    </row>
    <row r="9">
      <c r="A9" s="2" t="inlineStr">
        <is>
          <t>2026-06-15</t>
        </is>
      </c>
      <c r="B9" s="2" t="inlineStr">
        <is>
          <t>카카오맵</t>
        </is>
      </c>
      <c r="C9" s="3" t="n">
        <v>4</v>
      </c>
      <c r="D9" s="2" t="inlineStr">
        <is>
          <t>조용해서 노트북 작업 집중 잘됨</t>
        </is>
      </c>
      <c r="E9" s="2" t="inlineStr">
        <is>
          <t>작업환경</t>
        </is>
      </c>
    </row>
    <row r="10">
      <c r="A10" s="2" t="inlineStr">
        <is>
          <t>2026-06-16</t>
        </is>
      </c>
      <c r="B10" s="2" t="inlineStr">
        <is>
          <t>네이버</t>
        </is>
      </c>
      <c r="C10" s="3" t="n">
        <v>2</v>
      </c>
      <c r="D10" s="2" t="inlineStr">
        <is>
          <t>주문 밀려서 음료 늦게 나왔어요</t>
        </is>
      </c>
      <c r="E10" s="2" t="inlineStr">
        <is>
          <t>대기시간</t>
        </is>
      </c>
    </row>
    <row r="11">
      <c r="A11" s="2" t="inlineStr">
        <is>
          <t>2026-06-17</t>
        </is>
      </c>
      <c r="B11" s="2" t="inlineStr">
        <is>
          <t>인스타</t>
        </is>
      </c>
      <c r="C11" s="3" t="n">
        <v>5</v>
      </c>
      <c r="D11" s="2" t="inlineStr">
        <is>
          <t>인테리어 감성 좋고 사진도 잘나와요</t>
        </is>
      </c>
      <c r="E11" s="2" t="inlineStr">
        <is>
          <t>분위기</t>
        </is>
      </c>
    </row>
    <row r="12">
      <c r="A12" s="2" t="inlineStr">
        <is>
          <t>2026-06-18</t>
        </is>
      </c>
      <c r="B12" s="2" t="inlineStr">
        <is>
          <t>카카오맵</t>
        </is>
      </c>
      <c r="C12" s="3" t="n">
        <v>3</v>
      </c>
      <c r="D12" s="2" t="inlineStr">
        <is>
          <t>좌석이 좀 부족한 느낌</t>
        </is>
      </c>
      <c r="E12" s="2" t="inlineStr">
        <is>
          <t>분위기</t>
        </is>
      </c>
    </row>
    <row r="13">
      <c r="A13" s="2" t="inlineStr">
        <is>
          <t>2026-06-19</t>
        </is>
      </c>
      <c r="B13" s="2" t="inlineStr">
        <is>
          <t>네이버</t>
        </is>
      </c>
      <c r="C13" s="3" t="n">
        <v>4</v>
      </c>
      <c r="D13" s="2" t="inlineStr">
        <is>
          <t>스콘 담백하고 좋았어요</t>
        </is>
      </c>
      <c r="E13" s="2" t="inlineStr">
        <is>
          <t>디저트</t>
        </is>
      </c>
    </row>
    <row r="14">
      <c r="A14" s="2" t="inlineStr">
        <is>
          <t>2026-06-20</t>
        </is>
      </c>
      <c r="B14" s="2" t="inlineStr">
        <is>
          <t>인스타</t>
        </is>
      </c>
      <c r="C14" s="3" t="n">
        <v>5</v>
      </c>
      <c r="D14" s="2" t="inlineStr">
        <is>
          <t>흑임자 라떼 강추합니다</t>
        </is>
      </c>
      <c r="E14" s="2" t="inlineStr">
        <is>
          <t>맛</t>
        </is>
      </c>
    </row>
    <row r="15">
      <c r="A15" s="2" t="inlineStr">
        <is>
          <t>2026-06-20</t>
        </is>
      </c>
      <c r="B15" s="2" t="inlineStr">
        <is>
          <t>카카오맵</t>
        </is>
      </c>
      <c r="C15" s="3" t="n">
        <v>2</v>
      </c>
      <c r="D15" s="2" t="inlineStr">
        <is>
          <t>피크 시간 웨이팅 너무 길어요</t>
        </is>
      </c>
      <c r="E15" s="2" t="inlineStr">
        <is>
          <t>대기시간</t>
        </is>
      </c>
    </row>
    <row r="16">
      <c r="A16" s="2" t="inlineStr">
        <is>
          <t>2026-06-21</t>
        </is>
      </c>
      <c r="B16" s="2" t="inlineStr">
        <is>
          <t>네이버</t>
        </is>
      </c>
      <c r="C16" s="3" t="n">
        <v>5</v>
      </c>
      <c r="D16" s="2" t="inlineStr">
        <is>
          <t>직원분들 응대 친절했어요</t>
        </is>
      </c>
      <c r="E16" s="2" t="inlineStr">
        <is>
          <t>친절</t>
        </is>
      </c>
    </row>
    <row r="17">
      <c r="A17" s="2" t="inlineStr">
        <is>
          <t>2026-06-21</t>
        </is>
      </c>
      <c r="B17" s="2" t="inlineStr">
        <is>
          <t>인스타</t>
        </is>
      </c>
      <c r="C17" s="3" t="n">
        <v>4</v>
      </c>
      <c r="D17" s="2" t="inlineStr">
        <is>
          <t>분위기 좋아서 오래 있었어요</t>
        </is>
      </c>
      <c r="E17" s="2" t="inlineStr">
        <is>
          <t>분위기</t>
        </is>
      </c>
    </row>
    <row r="18">
      <c r="A18" s="2" t="inlineStr">
        <is>
          <t>2026-06-22</t>
        </is>
      </c>
      <c r="B18" s="2" t="inlineStr">
        <is>
          <t>카카오맵</t>
        </is>
      </c>
      <c r="C18" s="3" t="n">
        <v>3</v>
      </c>
      <c r="D18" s="2" t="inlineStr">
        <is>
          <t>가격대비 양은 보통</t>
        </is>
      </c>
      <c r="E18" s="2" t="inlineStr">
        <is>
          <t>가격</t>
        </is>
      </c>
    </row>
    <row r="19">
      <c r="A19" s="2" t="inlineStr">
        <is>
          <t>2026-06-22</t>
        </is>
      </c>
      <c r="B19" s="2" t="inlineStr">
        <is>
          <t>네이버</t>
        </is>
      </c>
      <c r="C19" s="3" t="n">
        <v>5</v>
      </c>
      <c r="D19" s="2" t="inlineStr">
        <is>
          <t>커피 맛 안정적이고 깔끔</t>
        </is>
      </c>
      <c r="E19" s="2" t="inlineStr">
        <is>
          <t>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4" t="inlineStr">
        <is>
          <t>하버스카페 — 손님의 소리(VoC) 분석 리포트</t>
        </is>
      </c>
    </row>
    <row r="2">
      <c r="A2" s="5" t="inlineStr">
        <is>
          <t>원천: cafe_reviews.csv · 리뷰 18건 · 네이버/카카오맵/인스타</t>
        </is>
      </c>
    </row>
    <row r="4">
      <c r="A4" s="6" t="inlineStr">
        <is>
          <t>핵심 지표</t>
        </is>
      </c>
    </row>
    <row r="5">
      <c r="A5" s="7" t="inlineStr">
        <is>
          <t>총 리뷰 수</t>
        </is>
      </c>
      <c r="C5" s="7" t="inlineStr">
        <is>
          <t>평균 별점</t>
        </is>
      </c>
      <c r="E5" s="7" t="inlineStr">
        <is>
          <t>긍정률(★4↑)</t>
        </is>
      </c>
      <c r="G5" s="7" t="inlineStr">
        <is>
          <t>부정 리뷰(★2↓)</t>
        </is>
      </c>
    </row>
    <row r="6">
      <c r="A6" s="8">
        <f>COUNTA(리뷰원본!A2:A19)</f>
        <v/>
      </c>
      <c r="C6" s="8">
        <f>ROUND(AVERAGE(리뷰원본!$C$2:$C$19),2)</f>
        <v/>
      </c>
      <c r="E6" s="9">
        <f>ROUND(COUNTIF(리뷰원본!$C$2:$C$19,"&gt;=4")/COUNTA(리뷰원본!$C$2:$C$19),3)</f>
        <v/>
      </c>
      <c r="G6" s="8">
        <f>COUNTIF(리뷰원본!$C$2:$C$19,"&lt;=2")</f>
        <v/>
      </c>
    </row>
    <row r="9">
      <c r="A9" s="6" t="inlineStr">
        <is>
          <t>별점 분포</t>
        </is>
      </c>
    </row>
    <row r="10">
      <c r="A10" s="1" t="inlineStr">
        <is>
          <t>별점</t>
        </is>
      </c>
      <c r="B10" s="1" t="inlineStr">
        <is>
          <t>리뷰 수</t>
        </is>
      </c>
    </row>
    <row r="11">
      <c r="A11" s="3" t="inlineStr">
        <is>
          <t>★5</t>
        </is>
      </c>
      <c r="B11" s="3">
        <f>COUNTIF(리뷰원본!$C$2:$C$19,5)</f>
        <v/>
      </c>
    </row>
    <row r="12">
      <c r="A12" s="3" t="inlineStr">
        <is>
          <t>★4</t>
        </is>
      </c>
      <c r="B12" s="3">
        <f>COUNTIF(리뷰원본!$C$2:$C$19,4)</f>
        <v/>
      </c>
    </row>
    <row r="13">
      <c r="A13" s="3" t="inlineStr">
        <is>
          <t>★3</t>
        </is>
      </c>
      <c r="B13" s="3">
        <f>COUNTIF(리뷰원본!$C$2:$C$19,3)</f>
        <v/>
      </c>
    </row>
    <row r="14">
      <c r="A14" s="3" t="inlineStr">
        <is>
          <t>★2</t>
        </is>
      </c>
      <c r="B14" s="3">
        <f>COUNTIF(리뷰원본!$C$2:$C$19,2)</f>
        <v/>
      </c>
    </row>
    <row r="15">
      <c r="A15" s="3" t="inlineStr">
        <is>
          <t>★1</t>
        </is>
      </c>
      <c r="B15" s="3">
        <f>COUNTIF(리뷰원본!$C$2:$C$19,1)</f>
        <v/>
      </c>
    </row>
    <row r="18">
      <c r="A18" s="6" t="inlineStr">
        <is>
          <t>테마별 집계 (리뷰 수 · 평균 별점)</t>
        </is>
      </c>
    </row>
    <row r="19">
      <c r="A19" s="1" t="inlineStr">
        <is>
          <t>테마</t>
        </is>
      </c>
      <c r="B19" s="1" t="inlineStr">
        <is>
          <t>리뷰 수</t>
        </is>
      </c>
      <c r="C19" s="1" t="inlineStr">
        <is>
          <t>평균 별점</t>
        </is>
      </c>
    </row>
    <row r="20">
      <c r="A20" s="2" t="inlineStr">
        <is>
          <t>맛</t>
        </is>
      </c>
      <c r="B20" s="3">
        <f>COUNTIF(리뷰원본!$E$2:$E$19,"맛")</f>
        <v/>
      </c>
      <c r="C20" s="3">
        <f>ROUND(AVERAGEIF(리뷰원본!$E$2:$E$19,"맛",리뷰원본!$C$2:$C$19),1)</f>
        <v/>
      </c>
    </row>
    <row r="21">
      <c r="A21" s="2" t="inlineStr">
        <is>
          <t>대기시간</t>
        </is>
      </c>
      <c r="B21" s="3">
        <f>COUNTIF(리뷰원본!$E$2:$E$19,"대기시간")</f>
        <v/>
      </c>
      <c r="C21" s="3">
        <f>ROUND(AVERAGEIF(리뷰원본!$E$2:$E$19,"대기시간",리뷰원본!$C$2:$C$19),1)</f>
        <v/>
      </c>
    </row>
    <row r="22">
      <c r="A22" s="2" t="inlineStr">
        <is>
          <t>분위기</t>
        </is>
      </c>
      <c r="B22" s="3">
        <f>COUNTIF(리뷰원본!$E$2:$E$19,"분위기")</f>
        <v/>
      </c>
      <c r="C22" s="3">
        <f>ROUND(AVERAGEIF(리뷰원본!$E$2:$E$19,"분위기",리뷰원본!$C$2:$C$19),1)</f>
        <v/>
      </c>
    </row>
    <row r="23">
      <c r="A23" s="2" t="inlineStr">
        <is>
          <t>작업환경</t>
        </is>
      </c>
      <c r="B23" s="3">
        <f>COUNTIF(리뷰원본!$E$2:$E$19,"작업환경")</f>
        <v/>
      </c>
      <c r="C23" s="3">
        <f>ROUND(AVERAGEIF(리뷰원본!$E$2:$E$19,"작업환경",리뷰원본!$C$2:$C$19),1)</f>
        <v/>
      </c>
    </row>
    <row r="24">
      <c r="A24" s="2" t="inlineStr">
        <is>
          <t>디저트</t>
        </is>
      </c>
      <c r="B24" s="3">
        <f>COUNTIF(리뷰원본!$E$2:$E$19,"디저트")</f>
        <v/>
      </c>
      <c r="C24" s="3">
        <f>ROUND(AVERAGEIF(리뷰원본!$E$2:$E$19,"디저트",리뷰원본!$C$2:$C$19),1)</f>
        <v/>
      </c>
    </row>
    <row r="25">
      <c r="A25" s="2" t="inlineStr">
        <is>
          <t>가격</t>
        </is>
      </c>
      <c r="B25" s="3">
        <f>COUNTIF(리뷰원본!$E$2:$E$19,"가격")</f>
        <v/>
      </c>
      <c r="C25" s="3">
        <f>ROUND(AVERAGEIF(리뷰원본!$E$2:$E$19,"가격",리뷰원본!$C$2:$C$19),1)</f>
        <v/>
      </c>
    </row>
    <row r="26">
      <c r="A26" s="2" t="inlineStr">
        <is>
          <t>친절</t>
        </is>
      </c>
      <c r="B26" s="3">
        <f>COUNTIF(리뷰원본!$E$2:$E$19,"친절")</f>
        <v/>
      </c>
      <c r="C26" s="3">
        <f>ROUND(AVERAGEIF(리뷰원본!$E$2:$E$19,"친절",리뷰원본!$C$2:$C$19),1)</f>
        <v/>
      </c>
    </row>
    <row r="29">
      <c r="A29" s="10" t="inlineStr">
        <is>
          <t>부정 리뷰(★2 이하) 테마 Top3</t>
        </is>
      </c>
    </row>
    <row r="30">
      <c r="A30" s="11" t="inlineStr">
        <is>
          <t>테마</t>
        </is>
      </c>
      <c r="B30" s="11" t="inlineStr">
        <is>
          <t>부정 건수</t>
        </is>
      </c>
    </row>
    <row r="31">
      <c r="A31" s="2" t="inlineStr">
        <is>
          <t>대기시간</t>
        </is>
      </c>
      <c r="B31" s="3">
        <f>COUNTIFS(리뷰원본!$E$2:$E$19,"대기시간",리뷰원본!$C$2:$C$19,"&lt;=2")</f>
        <v/>
      </c>
    </row>
    <row r="32">
      <c r="A32" s="2" t="inlineStr">
        <is>
          <t>맛</t>
        </is>
      </c>
      <c r="B32" s="3">
        <f>COUNTIFS(리뷰원본!$E$2:$E$19,"맛",리뷰원본!$C$2:$C$19,"&lt;=2")</f>
        <v/>
      </c>
    </row>
    <row r="33">
      <c r="A33" s="2" t="inlineStr">
        <is>
          <t>분위기</t>
        </is>
      </c>
      <c r="B33" s="3">
        <f>COUNTIFS(리뷰원본!$E$2:$E$19,"분위기",리뷰원본!$C$2:$C$19,"&lt;=2")</f>
        <v/>
      </c>
    </row>
    <row r="35">
      <c r="A35" s="12" t="inlineStr">
        <is>
          <t>📌 인사이트: 긍정은 '맛·작업환경', 부정 1위는 '대기시간(피크 웨이팅)' → 최우선 개선 = 피크타임 대기 단축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2026-07-10T02:00:50Z</dcterms:created>
  <dcterms:modified xmlns:dcterms="http://purl.org/dc/terms/" xmlns:xsi="http://www.w3.org/2001/XMLSchema-instance" xsi:type="dcterms:W3CDTF">2026-07-10T02:00:50Z</dcterms:modified>
</cp:coreProperties>
</file>