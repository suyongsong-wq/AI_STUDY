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후보전체" sheetId="1" state="visible" r:id="rId1"/>
    <sheet xmlns:r="http://schemas.openxmlformats.org/officeDocument/2006/relationships" name="선정·예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5"/>
    </font>
    <font>
      <color rgb="006E7887"/>
      <sz val="10"/>
    </font>
    <font>
      <b val="1"/>
      <color rgb="00FFFFFF"/>
      <sz val="10"/>
    </font>
    <font>
      <b val="1"/>
      <color rgb="00C55A11"/>
    </font>
    <font>
      <i val="1"/>
      <color rgb="00C55A11"/>
      <sz val="9"/>
    </font>
    <font>
      <b val="1"/>
      <color rgb="001F3864"/>
      <sz val="14"/>
    </font>
    <font>
      <b val="1"/>
      <color rgb="00FFFFFF"/>
    </font>
    <font>
      <b val="1"/>
    </font>
    <font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F4EC"/>
      </patternFill>
    </fill>
    <fill>
      <patternFill patternType="solid">
        <fgColor rgb="002B4A82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D2D8E2"/>
      </left>
      <right style="thin">
        <color rgb="00D2D8E2"/>
      </right>
      <top style="thin">
        <color rgb="00D2D8E2"/>
      </top>
      <bottom style="thin">
        <color rgb="00D2D8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8" fillId="5" borderId="1" applyAlignment="1" pivotButton="0" quotePrefix="0" xfId="0">
      <alignment horizontal="left"/>
    </xf>
    <xf numFmtId="0" fontId="8" fillId="5" borderId="1" applyAlignment="1" pivotButton="0" quotePrefix="0" xfId="0">
      <alignment horizontal="center"/>
    </xf>
    <xf numFmtId="0" fontId="9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후보별 종합점수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'후보전체'!L4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'후보전체'!$A$5:$A$14</f>
            </numRef>
          </cat>
          <val>
            <numRef>
              <f>'후보전체'!$L$5:$L$14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5" customWidth="1" min="4" max="4"/>
    <col width="10" customWidth="1" min="5" max="5"/>
    <col width="14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하버스카페 — 인플루언서 후보 스코어링</t>
        </is>
      </c>
    </row>
    <row r="2">
      <c r="A2" s="2" t="inlineStr">
        <is>
          <t>원천: influencers.csv · 후보 10명 · 성수 카페/작업/디저트 니치</t>
        </is>
      </c>
    </row>
    <row r="4" ht="30" customHeight="1">
      <c r="A4" s="3" t="inlineStr">
        <is>
          <t>계정</t>
        </is>
      </c>
      <c r="B4" s="3" t="inlineStr">
        <is>
          <t>분야</t>
        </is>
      </c>
      <c r="C4" s="3" t="inlineStr">
        <is>
          <t>팔로워</t>
        </is>
      </c>
      <c r="D4" s="3" t="inlineStr">
        <is>
          <t>인게이지먼트율(%)</t>
        </is>
      </c>
      <c r="E4" s="3" t="inlineStr">
        <is>
          <t>적합도(/10)</t>
        </is>
      </c>
      <c r="F4" s="3" t="inlineStr">
        <is>
          <t>게시물단가(만원)</t>
        </is>
      </c>
      <c r="G4" s="3" t="inlineStr">
        <is>
          <t>티어</t>
        </is>
      </c>
      <c r="H4" s="3" t="inlineStr">
        <is>
          <t>브랜드핏</t>
        </is>
      </c>
      <c r="I4" s="3" t="inlineStr">
        <is>
          <t>타겟일치</t>
        </is>
      </c>
      <c r="J4" s="3" t="inlineStr">
        <is>
          <t>실질도달</t>
        </is>
      </c>
      <c r="K4" s="3" t="inlineStr">
        <is>
          <t>효율(팔/만원)</t>
        </is>
      </c>
      <c r="L4" s="3" t="inlineStr">
        <is>
          <t>종합점수</t>
        </is>
      </c>
    </row>
    <row r="5">
      <c r="A5" s="4" t="inlineStr">
        <is>
          <t>@jakeob.diary</t>
        </is>
      </c>
      <c r="B5" s="5" t="inlineStr">
        <is>
          <t>작업·노트북 카페</t>
        </is>
      </c>
      <c r="C5" s="6" t="n">
        <v>18000</v>
      </c>
      <c r="D5" s="6" t="n">
        <v>6.8</v>
      </c>
      <c r="E5" s="6">
        <f>H5+I5</f>
        <v/>
      </c>
      <c r="F5" s="6" t="n">
        <v>20</v>
      </c>
      <c r="G5" s="6" t="inlineStr">
        <is>
          <t>마이크로</t>
        </is>
      </c>
      <c r="H5" s="6" t="n">
        <v>5</v>
      </c>
      <c r="I5" s="6" t="n">
        <v>5</v>
      </c>
      <c r="J5" s="6">
        <f>ROUND(C5*D5/100,0)</f>
        <v/>
      </c>
      <c r="K5" s="6">
        <f>ROUND(C5/F5,0)</f>
        <v/>
      </c>
      <c r="L5" s="6">
        <f>ROUND(H5*10+I5*10+D5*2,1)</f>
        <v/>
      </c>
    </row>
    <row r="6">
      <c r="A6" s="4" t="inlineStr">
        <is>
          <t>@quiet.coffee.kr</t>
        </is>
      </c>
      <c r="B6" s="5" t="inlineStr">
        <is>
          <t>조용한 카페·무드</t>
        </is>
      </c>
      <c r="C6" s="6" t="n">
        <v>9500</v>
      </c>
      <c r="D6" s="6" t="n">
        <v>8.9</v>
      </c>
      <c r="E6" s="6">
        <f>H6+I6</f>
        <v/>
      </c>
      <c r="F6" s="6" t="n">
        <v>12</v>
      </c>
      <c r="G6" s="6" t="inlineStr">
        <is>
          <t>나노</t>
        </is>
      </c>
      <c r="H6" s="6" t="n">
        <v>5</v>
      </c>
      <c r="I6" s="6" t="n">
        <v>4</v>
      </c>
      <c r="J6" s="6">
        <f>ROUND(C6*D6/100,0)</f>
        <v/>
      </c>
      <c r="K6" s="6">
        <f>ROUND(C6/F6,0)</f>
        <v/>
      </c>
      <c r="L6" s="6">
        <f>ROUND(H6*10+I6*10+D6*2,1)</f>
        <v/>
      </c>
    </row>
    <row r="7">
      <c r="A7" s="4" t="inlineStr">
        <is>
          <t>@minimal.mood.cafe</t>
        </is>
      </c>
      <c r="B7" s="5" t="inlineStr">
        <is>
          <t>미니멀 감성 카페</t>
        </is>
      </c>
      <c r="C7" s="6" t="n">
        <v>14000</v>
      </c>
      <c r="D7" s="6" t="n">
        <v>7.2</v>
      </c>
      <c r="E7" s="6">
        <f>H7+I7</f>
        <v/>
      </c>
      <c r="F7" s="6" t="n">
        <v>18</v>
      </c>
      <c r="G7" s="6" t="inlineStr">
        <is>
          <t>마이크로</t>
        </is>
      </c>
      <c r="H7" s="6" t="n">
        <v>5</v>
      </c>
      <c r="I7" s="6" t="n">
        <v>4</v>
      </c>
      <c r="J7" s="6">
        <f>ROUND(C7*D7/100,0)</f>
        <v/>
      </c>
      <c r="K7" s="6">
        <f>ROUND(C7/F7,0)</f>
        <v/>
      </c>
      <c r="L7" s="6">
        <f>ROUND(H7*10+I7*10+D7*2,1)</f>
        <v/>
      </c>
    </row>
    <row r="8">
      <c r="A8" s="7" t="inlineStr">
        <is>
          <t>@coffee.n.work</t>
        </is>
      </c>
      <c r="B8" s="7" t="inlineStr">
        <is>
          <t>카페+원격근무</t>
        </is>
      </c>
      <c r="C8" s="8" t="n">
        <v>11000</v>
      </c>
      <c r="D8" s="8" t="n">
        <v>6.1</v>
      </c>
      <c r="E8" s="8">
        <f>H8+I8</f>
        <v/>
      </c>
      <c r="F8" s="8" t="n">
        <v>15</v>
      </c>
      <c r="G8" s="8" t="inlineStr">
        <is>
          <t>마이크로</t>
        </is>
      </c>
      <c r="H8" s="8" t="n">
        <v>4</v>
      </c>
      <c r="I8" s="8" t="n">
        <v>5</v>
      </c>
      <c r="J8" s="8">
        <f>ROUND(C8*D8/100,0)</f>
        <v/>
      </c>
      <c r="K8" s="8">
        <f>ROUND(C8/F8,0)</f>
        <v/>
      </c>
      <c r="L8" s="8">
        <f>ROUND(H8*10+I8*10+D8*2,1)</f>
        <v/>
      </c>
    </row>
    <row r="9">
      <c r="A9" s="7" t="inlineStr">
        <is>
          <t>@office.cafe.seoul</t>
        </is>
      </c>
      <c r="B9" s="7" t="inlineStr">
        <is>
          <t>직장인 작업카페</t>
        </is>
      </c>
      <c r="C9" s="8" t="n">
        <v>21000</v>
      </c>
      <c r="D9" s="8" t="n">
        <v>5.5</v>
      </c>
      <c r="E9" s="8">
        <f>H9+I9</f>
        <v/>
      </c>
      <c r="F9" s="8" t="n">
        <v>25</v>
      </c>
      <c r="G9" s="8" t="inlineStr">
        <is>
          <t>마이크로</t>
        </is>
      </c>
      <c r="H9" s="8" t="n">
        <v>4</v>
      </c>
      <c r="I9" s="8" t="n">
        <v>5</v>
      </c>
      <c r="J9" s="8">
        <f>ROUND(C9*D9/100,0)</f>
        <v/>
      </c>
      <c r="K9" s="8">
        <f>ROUND(C9/F9,0)</f>
        <v/>
      </c>
      <c r="L9" s="8">
        <f>ROUND(H9*10+I9*10+D9*2,1)</f>
        <v/>
      </c>
    </row>
    <row r="10">
      <c r="A10" s="7" t="inlineStr">
        <is>
          <t>@heukimja.latte</t>
        </is>
      </c>
      <c r="B10" s="7" t="inlineStr">
        <is>
          <t>라떼·디저트 감성</t>
        </is>
      </c>
      <c r="C10" s="8" t="n">
        <v>27000</v>
      </c>
      <c r="D10" s="8" t="n">
        <v>5.1</v>
      </c>
      <c r="E10" s="8">
        <f>H10+I10</f>
        <v/>
      </c>
      <c r="F10" s="8" t="n">
        <v>30</v>
      </c>
      <c r="G10" s="8" t="inlineStr">
        <is>
          <t>마이크로</t>
        </is>
      </c>
      <c r="H10" s="8" t="n">
        <v>5</v>
      </c>
      <c r="I10" s="8" t="n">
        <v>3</v>
      </c>
      <c r="J10" s="8">
        <f>ROUND(C10*D10/100,0)</f>
        <v/>
      </c>
      <c r="K10" s="8">
        <f>ROUND(C10/F10,0)</f>
        <v/>
      </c>
      <c r="L10" s="8">
        <f>ROUND(H10*10+I10*10+D10*2,1)</f>
        <v/>
      </c>
    </row>
    <row r="11">
      <c r="A11" s="7" t="inlineStr">
        <is>
          <t>@basque.everyday</t>
        </is>
      </c>
      <c r="B11" s="7" t="inlineStr">
        <is>
          <t>바스크·치즈케이크</t>
        </is>
      </c>
      <c r="C11" s="8" t="n">
        <v>33000</v>
      </c>
      <c r="D11" s="8" t="n">
        <v>3.9</v>
      </c>
      <c r="E11" s="8">
        <f>H11+I11</f>
        <v/>
      </c>
      <c r="F11" s="8" t="n">
        <v>35</v>
      </c>
      <c r="G11" s="8" t="inlineStr">
        <is>
          <t>마이크로</t>
        </is>
      </c>
      <c r="H11" s="8" t="n">
        <v>4</v>
      </c>
      <c r="I11" s="8" t="n">
        <v>3</v>
      </c>
      <c r="J11" s="8">
        <f>ROUND(C11*D11/100,0)</f>
        <v/>
      </c>
      <c r="K11" s="8">
        <f>ROUND(C11/F11,0)</f>
        <v/>
      </c>
      <c r="L11" s="8">
        <f>ROUND(H11*10+I11*10+D11*2,1)</f>
        <v/>
      </c>
    </row>
    <row r="12">
      <c r="A12" s="7" t="inlineStr">
        <is>
          <t>@seongsu.cafe.day</t>
        </is>
      </c>
      <c r="B12" s="7" t="inlineStr">
        <is>
          <t>성수 카페투어</t>
        </is>
      </c>
      <c r="C12" s="8" t="n">
        <v>42000</v>
      </c>
      <c r="D12" s="8" t="n">
        <v>4.2</v>
      </c>
      <c r="E12" s="8">
        <f>H12+I12</f>
        <v/>
      </c>
      <c r="F12" s="8" t="n">
        <v>45</v>
      </c>
      <c r="G12" s="8" t="inlineStr">
        <is>
          <t>마이크로</t>
        </is>
      </c>
      <c r="H12" s="8" t="n">
        <v>4</v>
      </c>
      <c r="I12" s="8" t="n">
        <v>4</v>
      </c>
      <c r="J12" s="8">
        <f>ROUND(C12*D12/100,0)</f>
        <v/>
      </c>
      <c r="K12" s="8">
        <f>ROUND(C12/F12,0)</f>
        <v/>
      </c>
      <c r="L12" s="8">
        <f>ROUND(H12*10+I12*10+D12*2,1)</f>
        <v/>
      </c>
    </row>
    <row r="13">
      <c r="A13" s="7" t="inlineStr">
        <is>
          <t>@seoul.latteart</t>
        </is>
      </c>
      <c r="B13" s="7" t="inlineStr">
        <is>
          <t>라떼아트·커피</t>
        </is>
      </c>
      <c r="C13" s="8" t="n">
        <v>65000</v>
      </c>
      <c r="D13" s="8" t="n">
        <v>2.8</v>
      </c>
      <c r="E13" s="8">
        <f>H13+I13</f>
        <v/>
      </c>
      <c r="F13" s="8" t="n">
        <v>60</v>
      </c>
      <c r="G13" s="8" t="inlineStr">
        <is>
          <t>마이크로</t>
        </is>
      </c>
      <c r="H13" s="8" t="n">
        <v>3</v>
      </c>
      <c r="I13" s="8" t="n">
        <v>3</v>
      </c>
      <c r="J13" s="8">
        <f>ROUND(C13*D13/100,0)</f>
        <v/>
      </c>
      <c r="K13" s="8">
        <f>ROUND(C13/F13,0)</f>
        <v/>
      </c>
      <c r="L13" s="8">
        <f>ROUND(H13*10+I13*10+D13*2,1)</f>
        <v/>
      </c>
    </row>
    <row r="14">
      <c r="A14" s="7" t="inlineStr">
        <is>
          <t>@foodie.megang</t>
        </is>
      </c>
      <c r="B14" s="7" t="inlineStr">
        <is>
          <t>대형 먹방·맛집</t>
        </is>
      </c>
      <c r="C14" s="8" t="n">
        <v>180000</v>
      </c>
      <c r="D14" s="8" t="n">
        <v>1.9</v>
      </c>
      <c r="E14" s="8">
        <f>H14+I14</f>
        <v/>
      </c>
      <c r="F14" s="8" t="n">
        <v>150</v>
      </c>
      <c r="G14" s="8" t="inlineStr">
        <is>
          <t>매크로</t>
        </is>
      </c>
      <c r="H14" s="8" t="n">
        <v>2</v>
      </c>
      <c r="I14" s="8" t="n">
        <v>2</v>
      </c>
      <c r="J14" s="8">
        <f>ROUND(C14*D14/100,0)</f>
        <v/>
      </c>
      <c r="K14" s="8">
        <f>ROUND(C14/F14,0)</f>
        <v/>
      </c>
      <c r="L14" s="8">
        <f>ROUND(H14*10+I14*10+D14*2,1)</f>
        <v/>
      </c>
    </row>
    <row r="16">
      <c r="A16" s="9" t="inlineStr">
        <is>
          <t>✅ 주황 하이라이트 = 최종 선정 3명 (합계 50만원). 적합도 = 브랜드핏+타겟일치(/10) · 종합점수 = 브랜드핏×10 + 타겟일치×10 + 참여율×2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</cols>
  <sheetData>
    <row r="1">
      <c r="A1" s="10" t="inlineStr">
        <is>
          <t>최종 선정 &amp; 예산 시뮬레이션</t>
        </is>
      </c>
    </row>
    <row r="2">
      <c r="A2" s="2" t="inlineStr">
        <is>
          <t>예산 상한 50만원 · 마이크로/나노 3명 분산 전략</t>
        </is>
      </c>
    </row>
    <row r="4">
      <c r="A4" s="11" t="inlineStr">
        <is>
          <t>핸들</t>
        </is>
      </c>
      <c r="B4" s="11" t="inlineStr">
        <is>
          <t>분야</t>
        </is>
      </c>
      <c r="C4" s="11" t="inlineStr">
        <is>
          <t>팔로워</t>
        </is>
      </c>
      <c r="D4" s="11" t="inlineStr">
        <is>
          <t>참여율(%)</t>
        </is>
      </c>
      <c r="E4" s="11" t="inlineStr">
        <is>
          <t>단가(만원)</t>
        </is>
      </c>
      <c r="F4" s="11" t="inlineStr">
        <is>
          <t>실질도달</t>
        </is>
      </c>
    </row>
    <row r="5">
      <c r="A5" s="12" t="inlineStr">
        <is>
          <t>@jakeob.diary</t>
        </is>
      </c>
      <c r="B5" s="13" t="inlineStr">
        <is>
          <t>작업·노트북 카페</t>
        </is>
      </c>
      <c r="C5" s="12" t="n">
        <v>18000</v>
      </c>
      <c r="D5" s="12" t="n">
        <v>6.8</v>
      </c>
      <c r="E5" s="12" t="n">
        <v>20</v>
      </c>
      <c r="F5" s="12">
        <f>ROUND(C5*D5/100,0)</f>
        <v/>
      </c>
    </row>
    <row r="6">
      <c r="A6" s="12" t="inlineStr">
        <is>
          <t>@quiet.coffee.kr</t>
        </is>
      </c>
      <c r="B6" s="13" t="inlineStr">
        <is>
          <t>조용한 카페·무드</t>
        </is>
      </c>
      <c r="C6" s="12" t="n">
        <v>9500</v>
      </c>
      <c r="D6" s="12" t="n">
        <v>8.9</v>
      </c>
      <c r="E6" s="12" t="n">
        <v>12</v>
      </c>
      <c r="F6" s="12">
        <f>ROUND(C6*D6/100,0)</f>
        <v/>
      </c>
    </row>
    <row r="7">
      <c r="A7" s="12" t="inlineStr">
        <is>
          <t>@minimal.mood.cafe</t>
        </is>
      </c>
      <c r="B7" s="13" t="inlineStr">
        <is>
          <t>미니멀 감성 카페</t>
        </is>
      </c>
      <c r="C7" s="12" t="n">
        <v>14000</v>
      </c>
      <c r="D7" s="12" t="n">
        <v>7.2</v>
      </c>
      <c r="E7" s="12" t="n">
        <v>18</v>
      </c>
      <c r="F7" s="12">
        <f>ROUND(C7*D7/100,0)</f>
        <v/>
      </c>
    </row>
    <row r="8">
      <c r="A8" s="14" t="inlineStr">
        <is>
          <t>합계</t>
        </is>
      </c>
      <c r="B8" s="15" t="n"/>
      <c r="C8" s="15">
        <f>SUM(C5:C7)</f>
        <v/>
      </c>
      <c r="D8" s="15">
        <f>ROUND(AVERAGE(D5:D7),1)</f>
        <v/>
      </c>
      <c r="E8" s="15">
        <f>SUM(E5:E7)</f>
        <v/>
      </c>
      <c r="F8" s="15">
        <f>SUM(F5:F7)</f>
        <v/>
      </c>
    </row>
    <row r="10">
      <c r="A10" s="16" t="inlineStr">
        <is>
          <t>예산 시뮬레이션</t>
        </is>
      </c>
    </row>
    <row r="11">
      <c r="A11" s="17" t="inlineStr">
        <is>
          <t>총 예산(만원)</t>
        </is>
      </c>
      <c r="B11" s="17" t="n">
        <v>50</v>
      </c>
    </row>
    <row r="12">
      <c r="A12" s="17" t="inlineStr">
        <is>
          <t>집행(선정 3명)</t>
        </is>
      </c>
      <c r="B12" s="17">
        <f>E8</f>
        <v/>
      </c>
    </row>
    <row r="13">
      <c r="A13" s="17" t="inlineStr">
        <is>
          <t>잔액</t>
        </is>
      </c>
      <c r="B13" s="17">
        <f>50-E8</f>
        <v/>
      </c>
    </row>
    <row r="15">
      <c r="A15" s="16" t="inlineStr">
        <is>
          <t>효율 비교: 마이크로·나노 3명 vs 매크로 1명</t>
        </is>
      </c>
    </row>
    <row r="16">
      <c r="A16" s="11" t="inlineStr">
        <is>
          <t>전략</t>
        </is>
      </c>
      <c r="B16" s="11" t="inlineStr">
        <is>
          <t>예산(만원)</t>
        </is>
      </c>
      <c r="C16" s="11" t="inlineStr">
        <is>
          <t>실질도달</t>
        </is>
      </c>
    </row>
    <row r="17">
      <c r="A17" s="13" t="inlineStr">
        <is>
          <t>선정 3명(마이크로·나노)</t>
        </is>
      </c>
      <c r="B17" s="12">
        <f>E8</f>
        <v/>
      </c>
      <c r="C17" s="12">
        <f>F8</f>
        <v/>
      </c>
    </row>
    <row r="18">
      <c r="A18" s="13" t="inlineStr">
        <is>
          <t>@seoul.latteart 단독(매크로)</t>
        </is>
      </c>
      <c r="B18" s="12" t="n">
        <v>60</v>
      </c>
      <c r="C18" s="12">
        <f>ROUND(65000*2.8/100,0)</f>
        <v/>
      </c>
    </row>
    <row r="19">
      <c r="A19" s="9" t="inlineStr">
        <is>
          <t>→ 같은 예산으로 선정안이 실질도달 약 1.7배. 참여율·분산 노출 우위.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2026-07-10T07:15:17Z</dcterms:created>
  <dcterms:modified xmlns:dcterms="http://purl.org/dc/terms/" xmlns:xsi="http://www.w3.org/2001/XMLSchema-instance" xsi:type="dcterms:W3CDTF">2026-07-10T07:15:17Z</dcterms:modified>
</cp:coreProperties>
</file>